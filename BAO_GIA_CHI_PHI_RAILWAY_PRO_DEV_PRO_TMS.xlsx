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ự Toán Tổng Hợp" sheetId="1" state="visible" r:id="rId1"/>
    <sheet xmlns:r="http://schemas.openxmlformats.org/officeDocument/2006/relationships" name="2. Bóc Tách 3 Cụm Hạ Tầng" sheetId="2" state="visible" r:id="rId2"/>
    <sheet xmlns:r="http://schemas.openxmlformats.org/officeDocument/2006/relationships" name="3. Quyền Lợi Gói Pro" sheetId="3" state="visible" r:id="rId3"/>
    <sheet xmlns:r="http://schemas.openxmlformats.org/officeDocument/2006/relationships" name="4. Kế Hoạch Chuyển Đổ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&quot; đ&quot;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FFFFFF"/>
      <sz val="10"/>
    </font>
    <font>
      <name val="Segoe UI"/>
      <b val="1"/>
      <color rgb="00595959"/>
      <sz val="9"/>
    </font>
    <font>
      <name val="Segoe UI"/>
      <b val="1"/>
      <color rgb="000F3D62"/>
      <sz val="13"/>
    </font>
    <font>
      <name val="Segoe UI"/>
      <i val="1"/>
      <color rgb="00595959"/>
      <sz val="9"/>
    </font>
    <font>
      <name val="Segoe UI"/>
      <b val="1"/>
      <color rgb="000F3D62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11">
    <fill>
      <patternFill/>
    </fill>
    <fill>
      <patternFill patternType="gray125"/>
    </fill>
    <fill>
      <patternFill patternType="solid">
        <fgColor rgb="000F3D62"/>
        <bgColor rgb="000F3D62"/>
      </patternFill>
    </fill>
    <fill>
      <patternFill patternType="solid">
        <fgColor rgb="00E8F1F8"/>
        <bgColor rgb="00E8F1F8"/>
      </patternFill>
    </fill>
    <fill>
      <patternFill patternType="solid">
        <fgColor rgb="00E8F5E9"/>
        <bgColor rgb="00E8F5E9"/>
      </patternFill>
    </fill>
    <fill>
      <patternFill patternType="solid">
        <fgColor rgb="00FFFBE6"/>
        <bgColor rgb="00FFFBE6"/>
      </patternFill>
    </fill>
    <fill>
      <patternFill patternType="solid">
        <fgColor rgb="001E5F8C"/>
        <bgColor rgb="001E5F8C"/>
      </patternFill>
    </fill>
    <fill>
      <patternFill patternType="solid">
        <fgColor rgb="00F8F9FA"/>
        <bgColor rgb="00F8F9FA"/>
      </patternFill>
    </fill>
    <fill>
      <patternFill patternType="solid">
        <fgColor rgb="00FFEBEE"/>
        <bgColor rgb="00FFEBEE"/>
      </patternFill>
    </fill>
    <fill>
      <patternFill patternType="solid">
        <fgColor rgb="00E8F8F5"/>
        <bgColor rgb="00E8F8F5"/>
      </patternFill>
    </fill>
    <fill>
      <patternFill patternType="solid">
        <fgColor rgb="00F3E8FF"/>
        <bgColor rgb="00F3E8FF"/>
      </patternFill>
    </fill>
  </fills>
  <borders count="4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medium">
        <color rgb="000F3D62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double">
        <color rgb="000F3D62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6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9" fillId="3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right" vertical="center"/>
    </xf>
    <xf numFmtId="165" fontId="9" fillId="3" borderId="1" applyAlignment="1" pivotButton="0" quotePrefix="0" xfId="0">
      <alignment horizontal="right" vertical="center"/>
    </xf>
    <xf numFmtId="0" fontId="9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0" fontId="6" fillId="5" borderId="3" pivotButton="0" quotePrefix="0" xfId="0"/>
    <xf numFmtId="0" fontId="6" fillId="5" borderId="3" applyAlignment="1" pivotButton="0" quotePrefix="0" xfId="0">
      <alignment horizontal="left" vertical="center" wrapText="1"/>
    </xf>
    <xf numFmtId="164" fontId="6" fillId="5" borderId="3" applyAlignment="1" pivotButton="0" quotePrefix="0" xfId="0">
      <alignment horizontal="right" vertical="center"/>
    </xf>
    <xf numFmtId="165" fontId="6" fillId="5" borderId="3" applyAlignment="1" pivotButton="0" quotePrefix="0" xfId="0">
      <alignment horizontal="right" vertical="center"/>
    </xf>
    <xf numFmtId="0" fontId="6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9" fillId="10" borderId="1" pivotButton="0" quotePrefix="0" xfId="0"/>
    <xf numFmtId="0" fontId="9" fillId="10" borderId="1" applyAlignment="1" pivotButton="0" quotePrefix="0" xfId="0">
      <alignment horizontal="left" vertical="center" wrapText="1"/>
    </xf>
    <xf numFmtId="164" fontId="9" fillId="10" borderId="1" applyAlignment="1" pivotButton="0" quotePrefix="0" xfId="0">
      <alignment horizontal="right" vertical="center"/>
    </xf>
    <xf numFmtId="165" fontId="9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46" customWidth="1" min="4" max="4"/>
    <col width="24" customWidth="1" min="5" max="5"/>
    <col width="22" customWidth="1" min="6" max="6"/>
    <col width="46" customWidth="1" min="7" max="7"/>
  </cols>
  <sheetData>
    <row r="1" ht="36" customHeight="1">
      <c r="A1" s="1" t="inlineStr">
        <is>
          <t>BÁO GIÁ DỰ TOÁN HẠ TẦNG RAILWAY PRO — 3 CỤM: DEV, PRO &amp; TỰ ĐỘNG HÓA AI WORKER</t>
        </is>
      </c>
    </row>
    <row r="2" ht="20" customHeight="1">
      <c r="A2" s="2" t="inlineStr">
        <is>
          <t>Dự án: Logistics TMS (Spider Express) | Nền tảng: Railway.com (Region: Singapore) | Tỷ giá: 1 USD = 26.000 VNĐ | Ngày: 12/10/2026</t>
        </is>
      </c>
    </row>
    <row r="3"/>
    <row r="4">
      <c r="A4" s="3" t="inlineStr">
        <is>
          <t>GÓI CƯỚC NỀN TẢNG</t>
        </is>
      </c>
      <c r="B4" s="4" t="n"/>
      <c r="C4" s="5" t="inlineStr">
        <is>
          <t>QUẢN TRỊ VIÊN (SEATS)</t>
        </is>
      </c>
      <c r="D4" s="4" t="n"/>
      <c r="E4" s="6" t="inlineStr">
        <is>
          <t>HÓA ĐƠN DỰ KIẾN THỰC TRẢ (3 CỤM ĐỘC LẬP)</t>
        </is>
      </c>
      <c r="F4" s="4" t="n"/>
      <c r="G4" s="4" t="n"/>
    </row>
    <row r="5">
      <c r="A5" s="7" t="inlineStr">
        <is>
          <t>RAILWAY PRO</t>
        </is>
      </c>
      <c r="B5" s="4" t="n"/>
      <c r="C5" s="8" t="inlineStr">
        <is>
          <t>UNLIMITED (KHÔNG GIỚI HẠN)</t>
        </is>
      </c>
      <c r="D5" s="4" t="n"/>
      <c r="E5" s="9" t="inlineStr">
        <is>
          <t>~$33.30 / tháng (Trọn gói 3 Cụm)</t>
        </is>
      </c>
      <c r="F5" s="4" t="n"/>
      <c r="G5" s="4" t="n"/>
    </row>
    <row r="6">
      <c r="A6" s="10" t="inlineStr">
        <is>
          <t>$20 / tháng (Tặng $20 Credit)</t>
        </is>
      </c>
      <c r="B6" s="4" t="n"/>
      <c r="C6" s="11" t="inlineStr">
        <is>
          <t>0đ phụ phí ghế ngồi (No Seat Fee)</t>
        </is>
      </c>
      <c r="D6" s="4" t="n"/>
      <c r="E6" s="12" t="inlineStr">
        <is>
          <t>≈ 865.799 đ / tháng (Đã trừ $20 Credit. Cụm Automation riêng biệt)</t>
        </is>
      </c>
      <c r="F6" s="4" t="n"/>
      <c r="G6" s="4" t="n"/>
    </row>
    <row r="7"/>
    <row r="8">
      <c r="A8" s="13" t="inlineStr">
        <is>
          <t>I. TỔNG HỢP CHI PHÍ VẬN HÀNH TOÀN BỘ HẠ TẦNG (3 CỤM ĐỘC LẬP)</t>
        </is>
      </c>
    </row>
    <row r="9" ht="28" customHeight="1">
      <c r="A9" s="14" t="inlineStr">
        <is>
          <t>STT</t>
        </is>
      </c>
      <c r="B9" s="14" t="inlineStr">
        <is>
          <t>Cụm Dịch Vụ / Hạng Mục</t>
        </is>
      </c>
      <c r="C9" s="14" t="inlineStr">
        <is>
          <t>Số Service</t>
        </is>
      </c>
      <c r="D9" s="14" t="inlineStr">
        <is>
          <t>Tài Nguyên Phân Bổ</t>
        </is>
      </c>
      <c r="E9" s="14" t="inlineStr">
        <is>
          <t>Chi Phí Tiêu Thụ (USD)</t>
        </is>
      </c>
      <c r="F9" s="14" t="inlineStr">
        <is>
          <t>Tương Đương (VNĐ)</t>
        </is>
      </c>
      <c r="G9" s="14" t="inlineStr">
        <is>
          <t>Ghi Chú Vận Hành</t>
        </is>
      </c>
    </row>
    <row r="10" ht="24" customHeight="1">
      <c r="A10" s="15" t="n">
        <v>1</v>
      </c>
      <c r="B10" s="16" t="inlineStr">
        <is>
          <t>Cụm 1: Môi Trường Production TMS (24/7)</t>
        </is>
      </c>
      <c r="C10" s="15" t="n">
        <v>4</v>
      </c>
      <c r="D10" s="16" t="inlineStr">
        <is>
          <t>FE (300MB), BE (450MB), Postgres (10GB SSD), Redis (100MB)</t>
        </is>
      </c>
      <c r="E10" s="17" t="n">
        <v>15</v>
      </c>
      <c r="F10" s="18" t="n">
        <v>390000</v>
      </c>
      <c r="G10" s="16" t="inlineStr">
        <is>
          <t>Branch 'master', dữ liệu thật vận hành, không ngủ đông</t>
        </is>
      </c>
    </row>
    <row r="11" ht="24" customHeight="1">
      <c r="A11" s="19" t="n">
        <v>2</v>
      </c>
      <c r="B11" s="20" t="inlineStr">
        <is>
          <t>Cụm 2: Môi Trường Development TMS (24/7)</t>
        </is>
      </c>
      <c r="C11" s="19" t="n">
        <v>4</v>
      </c>
      <c r="D11" s="20" t="inlineStr">
        <is>
          <t>FE (200MB), BE (256MB), Postgres (5GB SSD), Redis (64MB)</t>
        </is>
      </c>
      <c r="E11" s="21" t="n">
        <v>9</v>
      </c>
      <c r="F11" s="22" t="n">
        <v>234000</v>
      </c>
      <c r="G11" s="20" t="inlineStr">
        <is>
          <t>Branch 'dev', môi trường test biệt lập 100%, 0đ ảnh hưởng Prod</t>
        </is>
      </c>
    </row>
    <row r="12" ht="24" customHeight="1">
      <c r="A12" s="15" t="n">
        <v>3</v>
      </c>
      <c r="B12" s="16" t="inlineStr">
        <is>
          <t>Cụm 3: Cụm Tự Động Hóa Workflow &amp; AI Worker (Group Riêng)</t>
        </is>
      </c>
      <c r="C12" s="15" t="inlineStr">
        <is>
          <t>3 serv + 1 vol</t>
        </is>
      </c>
      <c r="D12" s="16" t="inlineStr">
        <is>
          <t>n8n (250MB) + Postgres riêng (150MB, 2GB) + Worker (200MB) + Ổ đĩa Source Code (10GB)</t>
        </is>
      </c>
      <c r="E12" s="17" t="n">
        <v>8.300000000000001</v>
      </c>
      <c r="F12" s="18" t="n">
        <v>215800</v>
      </c>
      <c r="G12" s="16" t="inlineStr">
        <is>
          <t>GROUP ĐỘC LẬP: n8n, DB riêng, Telegram AI Worker &amp; Ổ đĩa 10GB lưu 3 Git repo</t>
        </is>
      </c>
    </row>
    <row r="13" ht="24" customHeight="1">
      <c r="A13" s="19" t="n">
        <v>4</v>
      </c>
      <c r="B13" s="20" t="inlineStr">
        <is>
          <t>Băng Thông Mạng (Egress)</t>
        </is>
      </c>
      <c r="C13" s="19" t="inlineStr">
        <is>
          <t>-</t>
        </is>
      </c>
      <c r="D13" s="20" t="inlineStr">
        <is>
          <t>Nội bộ Wireguard: 0đ | Ra ngoài Internet: ~20GB</t>
        </is>
      </c>
      <c r="E13" s="21" t="n">
        <v>1</v>
      </c>
      <c r="F13" s="22" t="n">
        <v>26000</v>
      </c>
      <c r="G13" s="20" t="inlineStr">
        <is>
          <t>Tải trang Next.js, API JSON và Webhook n8n</t>
        </is>
      </c>
    </row>
    <row r="14" ht="24" customHeight="1">
      <c r="A14" s="23" t="inlineStr"/>
      <c r="B14" s="24" t="inlineStr">
        <is>
          <t>TỔNG MỨC TIÊU THỤ TÀI NGUYÊN (A)</t>
        </is>
      </c>
      <c r="C14" s="25" t="inlineStr">
        <is>
          <t>3 Cụm độc lập</t>
        </is>
      </c>
      <c r="D14" s="24" t="inlineStr">
        <is>
          <t>Chạy 24/7 (2 FE, 2 BE, 3 Postgres, 2 Redis, 1 n8n, 1 Worker, 1 Volume 10GB)</t>
        </is>
      </c>
      <c r="E14" s="26">
        <f>SUM(E10:E13)</f>
        <v/>
      </c>
      <c r="F14" s="27">
        <f>SUM(F10:F13)</f>
        <v/>
      </c>
      <c r="G14" s="24" t="inlineStr">
        <is>
          <t>Tính theo giây sử dụng thực tế</t>
        </is>
      </c>
    </row>
    <row r="15" ht="24" customHeight="1">
      <c r="A15" s="28" t="inlineStr">
        <is>
          <t>-</t>
        </is>
      </c>
      <c r="B15" s="29" t="inlineStr">
        <is>
          <t>Khấu trừ Credit có sẵn của Gói PRO (B)</t>
        </is>
      </c>
      <c r="C15" s="28" t="inlineStr">
        <is>
          <t>-</t>
        </is>
      </c>
      <c r="D15" s="29" t="inlineStr">
        <is>
          <t>Tặng sẵn hàng tháng đi kèm gói Pro $20</t>
        </is>
      </c>
      <c r="E15" s="30" t="n">
        <v>-20</v>
      </c>
      <c r="F15" s="31" t="n">
        <v>-520000</v>
      </c>
      <c r="G15" s="29" t="inlineStr">
        <is>
          <t>Trừ thẳng 100% vào tiền máy chủ</t>
        </is>
      </c>
    </row>
    <row r="16" ht="28" customHeight="1">
      <c r="A16" s="32" t="inlineStr">
        <is>
          <t>👉</t>
        </is>
      </c>
      <c r="B16" s="33" t="inlineStr">
        <is>
          <t>HÓA ĐƠN THỰC TẾ PHẢI TRẢ (GÓI PRO + OVERAGE)</t>
        </is>
      </c>
      <c r="C16" s="32" t="inlineStr">
        <is>
          <t>-</t>
        </is>
      </c>
      <c r="D16" s="33" t="inlineStr">
        <is>
          <t>$20 Base + Phần vượt $20 Credit (A - 20)</t>
        </is>
      </c>
      <c r="E16" s="34">
        <f>20 + MAX(0, E14-20)</f>
        <v/>
      </c>
      <c r="F16" s="35">
        <f>E16*26000</f>
        <v/>
      </c>
      <c r="G16" s="33" t="inlineStr">
        <is>
          <t>Chi phí trọn gói cả 3 Cụm (Dev, Pro &amp; Cụm Tự Động Hóa Worker)</t>
        </is>
      </c>
    </row>
    <row r="17"/>
    <row r="18">
      <c r="A18" s="36" t="inlineStr">
        <is>
          <t>II. SO SÁNH HIỆU QUẢ CHI PHÍ VỚI CÁC PHƯƠNG ÁN KHÁC (BENCHMARK)</t>
        </is>
      </c>
    </row>
    <row r="19" ht="26" customHeight="1">
      <c r="A19" s="14" t="inlineStr">
        <is>
          <t>STT</t>
        </is>
      </c>
      <c r="B19" s="14" t="inlineStr">
        <is>
          <t>Phương Án Hạ Tầng</t>
        </is>
      </c>
      <c r="C19" s="14" t="inlineStr">
        <is>
          <t>Thành Phần</t>
        </is>
      </c>
      <c r="D19" s="14" t="inlineStr">
        <is>
          <t>Khả Năng Chạy Dev, Pro &amp; n8n</t>
        </is>
      </c>
      <c r="E19" s="14" t="inlineStr">
        <is>
          <t>Chi Phí / Tháng (USD)</t>
        </is>
      </c>
      <c r="F19" s="14" t="inlineStr">
        <is>
          <t>Thành Tiền (VNĐ)</t>
        </is>
      </c>
      <c r="G19" s="14" t="inlineStr">
        <is>
          <t>Đánh Giá Hiệu Năng &amp; Rủi Ro</t>
        </is>
      </c>
    </row>
    <row r="20" ht="24" customHeight="1">
      <c r="A20" s="37" t="n">
        <v>1</v>
      </c>
      <c r="B20" s="29" t="inlineStr">
        <is>
          <t>Phương án Đề xuất: Railway PRO Fullstack (3 Cụm Độc Lập)</t>
        </is>
      </c>
      <c r="C20" s="29" t="inlineStr">
        <is>
          <t>3 Cụm: 4 Prod + 4 Dev + Cụm Automation (n8n, DB riêng, Worker, Ổ đĩa)</t>
        </is>
      </c>
      <c r="D20" s="29" t="inlineStr">
        <is>
          <t>✅ Đầy đủ 2 môi trường TMS độc lập + Cụm Automation riêng 24/7</t>
        </is>
      </c>
      <c r="E20" s="30" t="n">
        <v>33.3</v>
      </c>
      <c r="F20" s="31" t="n">
        <v>865799</v>
      </c>
      <c r="G20" s="29" t="inlineStr">
        <is>
          <t>TỐT NHẤT: Mạng nội bộ 1ms, không ngủ đông, Unlimited Admins, DB n8n riêng &amp; Worker sửa code 24/7</t>
        </is>
      </c>
    </row>
    <row r="21" ht="24" customHeight="1">
      <c r="A21" s="19" t="n">
        <v>2</v>
      </c>
      <c r="B21" s="20" t="inlineStr">
        <is>
          <t>Phương án Render Trả Phí (Starter)</t>
        </is>
      </c>
      <c r="C21" s="20" t="inlineStr">
        <is>
          <t>4 web services + 2 Postgres + 1 Redis + 1 n8n</t>
        </is>
      </c>
      <c r="D21" s="20" t="inlineStr">
        <is>
          <t>⚠️ Tách 2 môi trường nhưng tính giá gói cứng đắt đỏ</t>
        </is>
      </c>
      <c r="E21" s="21" t="n">
        <v>45</v>
      </c>
      <c r="F21" s="22" t="n">
        <v>1170000</v>
      </c>
      <c r="G21" s="20" t="inlineStr">
        <is>
          <t>ĐẮT HƠN: $7 x 4 (FE/BE) + $6 x 2 (DB) + $10 (Redis) + $7 (n8n) = $57/tháng</t>
        </is>
      </c>
    </row>
    <row r="22" ht="24" customHeight="1">
      <c r="A22" s="19" t="n">
        <v>3</v>
      </c>
      <c r="B22" s="20" t="inlineStr">
        <is>
          <t>Hiện tại: Render Free + Vercel + Neon</t>
        </is>
      </c>
      <c r="C22" s="20" t="inlineStr">
        <is>
          <t>1 BE Render Free, 1 FE Vercel, 1 DB Neon (Không có n8n)</t>
        </is>
      </c>
      <c r="D22" s="20" t="inlineStr">
        <is>
          <t>❌ KHÔNG ĐẠT: Dev và Prod dùng chung 1 database</t>
        </is>
      </c>
      <c r="E22" s="21" t="n">
        <v>0</v>
      </c>
      <c r="F22" s="22" t="n">
        <v>0</v>
      </c>
      <c r="G22" s="20" t="inlineStr">
        <is>
          <t>RỦI RO: Ngủ đông 50s, dễ làm bẩn DB prod, KHÔNG THỂ chạy n8n webhook</t>
        </is>
      </c>
    </row>
  </sheetData>
  <mergeCells count="13">
    <mergeCell ref="A4:B4"/>
    <mergeCell ref="A1:G1"/>
    <mergeCell ref="C6:D6"/>
    <mergeCell ref="A18:G18"/>
    <mergeCell ref="A8:G8"/>
    <mergeCell ref="E5:G5"/>
    <mergeCell ref="C5:D5"/>
    <mergeCell ref="A5:B5"/>
    <mergeCell ref="A2:G2"/>
    <mergeCell ref="E4:G4"/>
    <mergeCell ref="A6:B6"/>
    <mergeCell ref="E6:G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8" customWidth="1" min="4" max="4"/>
    <col width="22" customWidth="1" min="5" max="5"/>
    <col width="30" customWidth="1" min="6" max="6"/>
    <col width="24" customWidth="1" min="7" max="7"/>
    <col width="20" customWidth="1" min="8" max="8"/>
  </cols>
  <sheetData>
    <row r="1" ht="36" customHeight="1">
      <c r="A1" s="1" t="inlineStr">
        <is>
          <t>BẢNG BÓC TÁCH CHI TIẾT 3 CỤM HẠ TẦNG (DEV, PRO &amp; CỤM TỰ ĐỘNG HÓA RIÊNG BIỆT)</t>
        </is>
      </c>
    </row>
    <row r="2"/>
    <row r="3" ht="28" customHeight="1">
      <c r="A3" s="14" t="inlineStr">
        <is>
          <t>STT</t>
        </is>
      </c>
      <c r="B3" s="14" t="inlineStr">
        <is>
          <t>Tên Service</t>
        </is>
      </c>
      <c r="C3" s="14" t="inlineStr">
        <is>
          <t>Môi Trường</t>
        </is>
      </c>
      <c r="D3" s="14" t="inlineStr">
        <is>
          <t>Cấu Hình RAM</t>
        </is>
      </c>
      <c r="E3" s="14" t="inlineStr">
        <is>
          <t>Cấu Hình CPU / Disk</t>
        </is>
      </c>
      <c r="F3" s="14" t="inlineStr">
        <is>
          <t>Đơn Giá Railway</t>
        </is>
      </c>
      <c r="G3" s="14" t="inlineStr">
        <is>
          <t>Chi Phí / Tháng (USD)</t>
        </is>
      </c>
      <c r="H3" s="14" t="inlineStr">
        <is>
          <t>Quy Đổi (VNĐ)</t>
        </is>
      </c>
    </row>
    <row r="4" ht="24" customHeight="1">
      <c r="A4" s="38" t="inlineStr">
        <is>
          <t>🔴 CỤM MÔI TRƯỜNG PRODUCTION (Chạy 24/7 - Dữ liệu thực tế doanh nghiệp - Branch 'master')</t>
        </is>
      </c>
    </row>
    <row r="5" ht="22" customHeight="1">
      <c r="A5" s="19" t="n">
        <v>1</v>
      </c>
      <c r="B5" s="20" t="inlineStr">
        <is>
          <t>frontend-prod</t>
        </is>
      </c>
      <c r="C5" s="19" t="inlineStr">
        <is>
          <t>Production</t>
        </is>
      </c>
      <c r="D5" s="19" t="inlineStr">
        <is>
          <t>300 MB</t>
        </is>
      </c>
      <c r="E5" s="19" t="inlineStr">
        <is>
          <t>0.08 vCPU</t>
        </is>
      </c>
      <c r="F5" s="20" t="inlineStr">
        <is>
          <t>RAM: $10/GB | CPU: $20/vCPU</t>
        </is>
      </c>
      <c r="G5" s="21" t="n">
        <v>4</v>
      </c>
      <c r="H5" s="22" t="n">
        <v>104000</v>
      </c>
    </row>
    <row r="6" ht="22" customHeight="1">
      <c r="A6" s="19" t="n">
        <v>2</v>
      </c>
      <c r="B6" s="20" t="inlineStr">
        <is>
          <t>backend-prod</t>
        </is>
      </c>
      <c r="C6" s="19" t="inlineStr">
        <is>
          <t>Production</t>
        </is>
      </c>
      <c r="D6" s="19" t="inlineStr">
        <is>
          <t>450 MB</t>
        </is>
      </c>
      <c r="E6" s="19" t="inlineStr">
        <is>
          <t>0.12 vCPU</t>
        </is>
      </c>
      <c r="F6" s="20" t="inlineStr">
        <is>
          <t>RAM: $10/GB | CPU: $20/vCPU</t>
        </is>
      </c>
      <c r="G6" s="21" t="n">
        <v>6</v>
      </c>
      <c r="H6" s="22" t="n">
        <v>156000</v>
      </c>
    </row>
    <row r="7" ht="22" customHeight="1">
      <c r="A7" s="19" t="n">
        <v>3</v>
      </c>
      <c r="B7" s="20" t="inlineStr">
        <is>
          <t>postgres-prod</t>
        </is>
      </c>
      <c r="C7" s="19" t="inlineStr">
        <is>
          <t>Production</t>
        </is>
      </c>
      <c r="D7" s="19" t="inlineStr">
        <is>
          <t>256 MB</t>
        </is>
      </c>
      <c r="E7" s="19" t="inlineStr">
        <is>
          <t>10 GB NVMe SSD</t>
        </is>
      </c>
      <c r="F7" s="20" t="inlineStr">
        <is>
          <t>RAM: $10/GB | Disk: $0.15/GB</t>
        </is>
      </c>
      <c r="G7" s="21" t="n">
        <v>3.75</v>
      </c>
      <c r="H7" s="22" t="n">
        <v>97500</v>
      </c>
    </row>
    <row r="8" ht="22" customHeight="1">
      <c r="A8" s="19" t="n">
        <v>4</v>
      </c>
      <c r="B8" s="20" t="inlineStr">
        <is>
          <t>redis-prod</t>
        </is>
      </c>
      <c r="C8" s="19" t="inlineStr">
        <is>
          <t>Production</t>
        </is>
      </c>
      <c r="D8" s="19" t="inlineStr">
        <is>
          <t>100 MB</t>
        </is>
      </c>
      <c r="E8" s="19" t="inlineStr">
        <is>
          <t>0.02 vCPU</t>
        </is>
      </c>
      <c r="F8" s="20" t="inlineStr">
        <is>
          <t>RAM: $10/GB | CPU: $20/vCPU</t>
        </is>
      </c>
      <c r="G8" s="21" t="n">
        <v>1.25</v>
      </c>
      <c r="H8" s="22" t="n">
        <v>32500</v>
      </c>
    </row>
    <row r="9" ht="24" customHeight="1">
      <c r="A9" s="23" t="inlineStr"/>
      <c r="B9" s="24" t="inlineStr">
        <is>
          <t>Tiểu Kế Cụm Production:</t>
        </is>
      </c>
      <c r="C9" s="23" t="n"/>
      <c r="D9" s="23" t="n"/>
      <c r="E9" s="23" t="n"/>
      <c r="F9" s="23" t="n"/>
      <c r="G9" s="26">
        <f>SUM(G5:G8)</f>
        <v/>
      </c>
      <c r="H9" s="27">
        <f>SUM(H5:H8)</f>
        <v/>
      </c>
    </row>
    <row r="10"/>
    <row r="11" ht="24" customHeight="1">
      <c r="A11" s="39" t="inlineStr">
        <is>
          <t>🟢 CỤM MÔI TRƯỜNG DEV (Chạy 24/7 - Cấu hình tinh gọn - Thử nghiệm tính năng mới - Branch 'dev')</t>
        </is>
      </c>
    </row>
    <row r="12" ht="22" customHeight="1">
      <c r="A12" s="19" t="n">
        <v>5</v>
      </c>
      <c r="B12" s="20" t="inlineStr">
        <is>
          <t>frontend-dev</t>
        </is>
      </c>
      <c r="C12" s="19" t="inlineStr">
        <is>
          <t>Dev</t>
        </is>
      </c>
      <c r="D12" s="19" t="inlineStr">
        <is>
          <t>200 MB</t>
        </is>
      </c>
      <c r="E12" s="19" t="inlineStr">
        <is>
          <t>0.05 vCPU</t>
        </is>
      </c>
      <c r="F12" s="20" t="inlineStr">
        <is>
          <t>RAM: $10/GB | CPU: $20/vCPU</t>
        </is>
      </c>
      <c r="G12" s="21" t="n">
        <v>2.75</v>
      </c>
      <c r="H12" s="22" t="n">
        <v>71500</v>
      </c>
    </row>
    <row r="13" ht="22" customHeight="1">
      <c r="A13" s="19" t="n">
        <v>6</v>
      </c>
      <c r="B13" s="20" t="inlineStr">
        <is>
          <t>backend-dev</t>
        </is>
      </c>
      <c r="C13" s="19" t="inlineStr">
        <is>
          <t>Dev</t>
        </is>
      </c>
      <c r="D13" s="19" t="inlineStr">
        <is>
          <t>256 MB</t>
        </is>
      </c>
      <c r="E13" s="19" t="inlineStr">
        <is>
          <t>0.06 vCPU</t>
        </is>
      </c>
      <c r="F13" s="20" t="inlineStr">
        <is>
          <t>RAM: $10/GB | CPU: $20/vCPU</t>
        </is>
      </c>
      <c r="G13" s="21" t="n">
        <v>3.5</v>
      </c>
      <c r="H13" s="22" t="n">
        <v>91000</v>
      </c>
    </row>
    <row r="14" ht="22" customHeight="1">
      <c r="A14" s="19" t="n">
        <v>7</v>
      </c>
      <c r="B14" s="20" t="inlineStr">
        <is>
          <t>postgres-dev</t>
        </is>
      </c>
      <c r="C14" s="19" t="inlineStr">
        <is>
          <t>Dev</t>
        </is>
      </c>
      <c r="D14" s="19" t="inlineStr">
        <is>
          <t>150 MB</t>
        </is>
      </c>
      <c r="E14" s="19" t="inlineStr">
        <is>
          <t>5 GB NVMe SSD</t>
        </is>
      </c>
      <c r="F14" s="20" t="inlineStr">
        <is>
          <t>RAM: $10/GB | Disk: $0.15/GB</t>
        </is>
      </c>
      <c r="G14" s="21" t="n">
        <v>2</v>
      </c>
      <c r="H14" s="22" t="n">
        <v>52000</v>
      </c>
    </row>
    <row r="15" ht="22" customHeight="1">
      <c r="A15" s="19" t="n">
        <v>8</v>
      </c>
      <c r="B15" s="20" t="inlineStr">
        <is>
          <t>redis-dev</t>
        </is>
      </c>
      <c r="C15" s="19" t="inlineStr">
        <is>
          <t>Dev</t>
        </is>
      </c>
      <c r="D15" s="19" t="inlineStr">
        <is>
          <t>64 MB</t>
        </is>
      </c>
      <c r="E15" s="19" t="inlineStr">
        <is>
          <t>0.01 vCPU</t>
        </is>
      </c>
      <c r="F15" s="20" t="inlineStr">
        <is>
          <t>RAM: $10/GB | CPU: $20/vCPU</t>
        </is>
      </c>
      <c r="G15" s="21" t="n">
        <v>0.75</v>
      </c>
      <c r="H15" s="22" t="n">
        <v>19500</v>
      </c>
    </row>
    <row r="16" ht="24" customHeight="1">
      <c r="A16" s="23" t="inlineStr"/>
      <c r="B16" s="24" t="inlineStr">
        <is>
          <t>Tiểu Kế Cụm Dev:</t>
        </is>
      </c>
      <c r="C16" s="23" t="n"/>
      <c r="D16" s="23" t="n"/>
      <c r="E16" s="23" t="n"/>
      <c r="F16" s="23" t="n"/>
      <c r="G16" s="26">
        <f>SUM(G12:G15)</f>
        <v/>
      </c>
      <c r="H16" s="27">
        <f>SUM(H12:H15)</f>
        <v/>
      </c>
    </row>
    <row r="17"/>
    <row r="18" ht="24" customHeight="1">
      <c r="A18" s="40" t="inlineStr">
        <is>
          <t>🟣 CỤM 3: HẠ TẦNG TỰ ĐỘNG HÓA WORKFLOW &amp; AI WORKER (GROUP ĐỘC LẬP RIÊNG BIỆT 100%)</t>
        </is>
      </c>
    </row>
    <row r="19" ht="22" customHeight="1">
      <c r="A19" s="19" t="n">
        <v>9</v>
      </c>
      <c r="B19" s="20" t="inlineStr">
        <is>
          <t>n8n-automation</t>
        </is>
      </c>
      <c r="C19" s="19" t="inlineStr">
        <is>
          <t>Automation</t>
        </is>
      </c>
      <c r="D19" s="19" t="inlineStr">
        <is>
          <t>250 MB</t>
        </is>
      </c>
      <c r="E19" s="19" t="inlineStr">
        <is>
          <t>0.05 vCPU</t>
        </is>
      </c>
      <c r="F19" s="20" t="inlineStr">
        <is>
          <t>RAM: $10/GB | CPU: $20/vCPU</t>
        </is>
      </c>
      <c r="G19" s="21" t="n">
        <v>2.5</v>
      </c>
      <c r="H19" s="22" t="n">
        <v>65000</v>
      </c>
    </row>
    <row r="20" ht="22" customHeight="1">
      <c r="A20" s="19" t="n">
        <v>10</v>
      </c>
      <c r="B20" s="20" t="inlineStr">
        <is>
          <t>postgres-automation</t>
        </is>
      </c>
      <c r="C20" s="19" t="inlineStr">
        <is>
          <t>Automation</t>
        </is>
      </c>
      <c r="D20" s="19" t="inlineStr">
        <is>
          <t>150 MB</t>
        </is>
      </c>
      <c r="E20" s="19" t="inlineStr">
        <is>
          <t>2 GB NVMe SSD</t>
        </is>
      </c>
      <c r="F20" s="20" t="inlineStr">
        <is>
          <t>RAM: $10/GB | Disk: $0.15/GB</t>
        </is>
      </c>
      <c r="G20" s="21" t="n">
        <v>1.8</v>
      </c>
      <c r="H20" s="22" t="n">
        <v>46800</v>
      </c>
    </row>
    <row r="21" ht="22" customHeight="1">
      <c r="A21" s="19" t="n">
        <v>11</v>
      </c>
      <c r="B21" s="20" t="inlineStr">
        <is>
          <t>telegram-cloud-worker</t>
        </is>
      </c>
      <c r="C21" s="19" t="inlineStr">
        <is>
          <t>Worker / AI</t>
        </is>
      </c>
      <c r="D21" s="19" t="inlineStr">
        <is>
          <t>200 MB</t>
        </is>
      </c>
      <c r="E21" s="19" t="inlineStr">
        <is>
          <t>0.05 vCPU</t>
        </is>
      </c>
      <c r="F21" s="20" t="inlineStr">
        <is>
          <t>RAM: $10/GB | CPU: $20/vCPU</t>
        </is>
      </c>
      <c r="G21" s="21" t="n">
        <v>2.5</v>
      </c>
      <c r="H21" s="22" t="n">
        <v>65000</v>
      </c>
    </row>
    <row r="22" ht="22" customHeight="1">
      <c r="A22" s="19" t="n">
        <v>12</v>
      </c>
      <c r="B22" s="20" t="inlineStr">
        <is>
          <t>volume-source-code</t>
        </is>
      </c>
      <c r="C22" s="19" t="inlineStr">
        <is>
          <t>Lưu trữ Source</t>
        </is>
      </c>
      <c r="D22" s="19" t="inlineStr">
        <is>
          <t>10 GB SSD</t>
        </is>
      </c>
      <c r="E22" s="19" t="inlineStr">
        <is>
          <t>Gắn vào Worker</t>
        </is>
      </c>
      <c r="F22" s="20" t="inlineStr">
        <is>
          <t>Volume: $0.15 / GB</t>
        </is>
      </c>
      <c r="G22" s="21" t="n">
        <v>1.5</v>
      </c>
      <c r="H22" s="22" t="n">
        <v>39000</v>
      </c>
    </row>
    <row r="23" ht="24" customHeight="1">
      <c r="A23" s="41" t="inlineStr"/>
      <c r="B23" s="42" t="inlineStr">
        <is>
          <t>Tiểu Kế Cụm Tự Động Hóa &amp; Cloud AI Worker:</t>
        </is>
      </c>
      <c r="C23" s="41" t="n"/>
      <c r="D23" s="41" t="n"/>
      <c r="E23" s="41" t="n"/>
      <c r="F23" s="41" t="n"/>
      <c r="G23" s="43">
        <f>SUM(G19:G22)</f>
        <v/>
      </c>
      <c r="H23" s="44">
        <f>SUM(H19:H22)</f>
        <v/>
      </c>
    </row>
    <row r="24"/>
    <row r="25" ht="22" customHeight="1">
      <c r="A25" s="19" t="n">
        <v>13</v>
      </c>
      <c r="B25" s="20" t="inlineStr">
        <is>
          <t>Băng thông mạng nội bộ (Wireguard)</t>
        </is>
      </c>
      <c r="C25" s="19" t="inlineStr">
        <is>
          <t>Toàn hệ thống</t>
        </is>
      </c>
      <c r="D25" s="19" t="inlineStr">
        <is>
          <t>FE &lt;-&gt; BE &lt;-&gt; DB &lt;-&gt; n8n &lt;-&gt; Worker</t>
        </is>
      </c>
      <c r="E25" s="19" t="inlineStr">
        <is>
          <t>Không giới hạn</t>
        </is>
      </c>
      <c r="F25" s="20" t="inlineStr">
        <is>
          <t>Railway Private Mesh (0đ)</t>
        </is>
      </c>
      <c r="G25" s="21" t="n">
        <v>0</v>
      </c>
      <c r="H25" s="22" t="n">
        <v>0</v>
      </c>
    </row>
    <row r="26" ht="22" customHeight="1">
      <c r="A26" s="19" t="n">
        <v>14</v>
      </c>
      <c r="B26" s="20" t="inlineStr">
        <is>
          <t>Băng thông ra ngoài Internet (Egress)</t>
        </is>
      </c>
      <c r="C26" s="19" t="inlineStr">
        <is>
          <t>Toàn hệ thống</t>
        </is>
      </c>
      <c r="D26" s="19" t="inlineStr">
        <is>
          <t>~20 GB</t>
        </is>
      </c>
      <c r="E26" s="19" t="inlineStr">
        <is>
          <t>Tải web, JSON, Webhook &amp; Git</t>
        </is>
      </c>
      <c r="F26" s="20" t="inlineStr">
        <is>
          <t>$0.05 / GB</t>
        </is>
      </c>
      <c r="G26" s="21" t="n">
        <v>1</v>
      </c>
      <c r="H26" s="22" t="n">
        <v>26000</v>
      </c>
    </row>
    <row r="27"/>
    <row r="28" ht="26" customHeight="1">
      <c r="A28" s="23" t="inlineStr"/>
      <c r="B28" s="24" t="inlineStr">
        <is>
          <t>TỔNG TIÊU THỤ TÀI NGUYÊN (A)</t>
        </is>
      </c>
      <c r="C28" s="23" t="n"/>
      <c r="D28" s="23" t="n"/>
      <c r="E28" s="23" t="n"/>
      <c r="F28" s="23" t="n"/>
      <c r="G28" s="26">
        <f>G9+G16+G23+G26</f>
        <v/>
      </c>
      <c r="H28" s="27">
        <f>H9+H16+H23+H26</f>
        <v/>
      </c>
    </row>
    <row r="29" ht="26" customHeight="1">
      <c r="A29" s="28" t="inlineStr"/>
      <c r="B29" s="29" t="inlineStr">
        <is>
          <t>CREDIT TẶNG SẴN TRONG GÓI PRO (B)</t>
        </is>
      </c>
      <c r="C29" s="28" t="n"/>
      <c r="D29" s="28" t="n"/>
      <c r="E29" s="28" t="n"/>
      <c r="F29" s="28" t="n"/>
      <c r="G29" s="30" t="n">
        <v>-20</v>
      </c>
      <c r="H29" s="31" t="n">
        <v>-520000</v>
      </c>
    </row>
    <row r="30" ht="30" customHeight="1">
      <c r="A30" s="32" t="inlineStr">
        <is>
          <t>👉</t>
        </is>
      </c>
      <c r="B30" s="33" t="inlineStr">
        <is>
          <t>HÓA ĐƠN THỰC TRẢ THÁNG (GÓI PRO + VƯỢT MỨC)</t>
        </is>
      </c>
      <c r="C30" s="32" t="n"/>
      <c r="D30" s="32" t="n"/>
      <c r="E30" s="32" t="n"/>
      <c r="F30" s="32" t="n"/>
      <c r="G30" s="34">
        <f>20+MAX(0, G28-20)</f>
        <v/>
      </c>
      <c r="H30" s="35">
        <f>G30*26000</f>
        <v/>
      </c>
    </row>
  </sheetData>
  <mergeCells count="10">
    <mergeCell ref="A18:H18"/>
    <mergeCell ref="A4:H4"/>
    <mergeCell ref="B30:F30"/>
    <mergeCell ref="B29:F29"/>
    <mergeCell ref="B16:F16"/>
    <mergeCell ref="B28:F28"/>
    <mergeCell ref="A11:H11"/>
    <mergeCell ref="B23:F23"/>
    <mergeCell ref="A1:H1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38" customWidth="1" min="4" max="4"/>
    <col width="28" customWidth="1" min="5" max="5"/>
    <col width="46" customWidth="1" min="6" max="6"/>
  </cols>
  <sheetData>
    <row r="1" ht="36" customHeight="1">
      <c r="A1" s="1" t="inlineStr">
        <is>
          <t>SO SÁNH TÍNH NĂNG VÀ QUYỀN LỢI CỦA GÓI PRO TRÊN RAILWAY</t>
        </is>
      </c>
    </row>
    <row r="2"/>
    <row r="3" ht="28" customHeight="1">
      <c r="A3" s="14" t="inlineStr">
        <is>
          <t>STT</t>
        </is>
      </c>
      <c r="B3" s="14" t="inlineStr">
        <is>
          <t>Hạng Mục Đánh Giá</t>
        </is>
      </c>
      <c r="C3" s="14" t="inlineStr">
        <is>
          <t>Gói Hobby ($5/tháng)</t>
        </is>
      </c>
      <c r="D3" s="14" t="inlineStr">
        <is>
          <t>Gói PRO ($20/tháng)</t>
        </is>
      </c>
      <c r="E3" s="14" t="inlineStr">
        <is>
          <t>Render Trả Phí</t>
        </is>
      </c>
      <c r="F3" s="14" t="inlineStr">
        <is>
          <t>Ý Nghĩa Với Hệ Thống TMS</t>
        </is>
      </c>
    </row>
    <row r="4" ht="26" customHeight="1">
      <c r="A4" s="15" t="n">
        <v>1</v>
      </c>
      <c r="B4" s="16" t="inlineStr">
        <is>
          <t>Số Người Quản Trị (Team Seats)</t>
        </is>
      </c>
      <c r="C4" s="16" t="inlineStr">
        <is>
          <t>Chỉ 1 người duy nhất (Bị khóa mời)</t>
        </is>
      </c>
      <c r="D4" s="29" t="inlineStr">
        <is>
          <t>KHÔNG GIỚI HẠN (Unlimited Seats, 0đ phụ phí)</t>
        </is>
      </c>
      <c r="E4" s="16" t="inlineStr">
        <is>
          <t>Tùy gói workspace ($25/tháng)</t>
        </is>
      </c>
      <c r="F4" s="16" t="inlineStr">
        <is>
          <t>Cho phép cả team dev, quản trị viên, QA cùng vào xem log</t>
        </is>
      </c>
    </row>
    <row r="5" ht="26" customHeight="1">
      <c r="A5" s="19" t="n">
        <v>2</v>
      </c>
      <c r="B5" s="20" t="inlineStr">
        <is>
          <t>Môi Trường Riêng Biệt (Dev &amp; Prod)</t>
        </is>
      </c>
      <c r="C5" s="20" t="inlineStr">
        <is>
          <t>Có thể tạo nhưng không phân quyền được</t>
        </is>
      </c>
      <c r="D5" s="29" t="inlineStr">
        <is>
          <t>Hỗ trợ Environment RBAC (Khóa bảo mật Prod)</t>
        </is>
      </c>
      <c r="E5" s="20" t="inlineStr">
        <is>
          <t>Phải tạo các service rời rạc</t>
        </is>
      </c>
      <c r="F5" s="20" t="inlineStr">
        <is>
          <t>Cách ly 100% dữ liệu thử nghiệm, tránh dev làm hỏng dữ liệu prod</t>
        </is>
      </c>
    </row>
    <row r="6" ht="26" customHeight="1">
      <c r="A6" s="15" t="n">
        <v>3</v>
      </c>
      <c r="B6" s="16" t="inlineStr">
        <is>
          <t>Hạ Tầng Tự Động Hóa n8n Workflow</t>
        </is>
      </c>
      <c r="C6" s="16" t="inlineStr">
        <is>
          <t>Bị giới hạn tài nguyên và private network</t>
        </is>
      </c>
      <c r="D6" s="29" t="inlineStr">
        <is>
          <t>✅ Chạy n8n 24/7 với PostgreSQL riêng biệt 100% (cách ly hoàn toàn khỏi TMS DB)</t>
        </is>
      </c>
      <c r="E6" s="16" t="inlineStr">
        <is>
          <t>⚠️ Tính phí thêm $7 - $15/tháng cho n8n instance</t>
        </is>
      </c>
      <c r="F6" s="16" t="inlineStr">
        <is>
          <t>Tự động hóa Webhook, Bot Telegram, ZNS mà không lo đầy hay nghẽn DB của TMS</t>
        </is>
      </c>
    </row>
    <row r="7" ht="26" customHeight="1">
      <c r="A7" s="19" t="n">
        <v>4</v>
      </c>
      <c r="B7" s="20" t="inlineStr">
        <is>
          <t>Độ Trễ Mạng (Network Latency)</t>
        </is>
      </c>
      <c r="C7" s="20" t="inlineStr">
        <is>
          <t>Có Singapore Datacenter</t>
        </is>
      </c>
      <c r="D7" s="29" t="inlineStr">
        <is>
          <t>Singapore Datacenter + Private Wireguard Mesh</t>
        </is>
      </c>
      <c r="E7" s="20" t="inlineStr">
        <is>
          <t>Singapore Datacenter</t>
        </is>
      </c>
      <c r="F7" s="20" t="inlineStr">
        <is>
          <t>Server đặt tại Singapore giúp ping về VN cực nhanh (~20-30ms)</t>
        </is>
      </c>
    </row>
    <row r="8" ht="26" customHeight="1">
      <c r="A8" s="15" t="n">
        <v>5</v>
      </c>
      <c r="B8" s="16" t="inlineStr">
        <is>
          <t>Hiện Tượng Ngủ Đông (Cold Start)</t>
        </is>
      </c>
      <c r="C8" s="16" t="inlineStr">
        <is>
          <t>Không ngủ đông (Always-on)</t>
        </is>
      </c>
      <c r="D8" s="29" t="inlineStr">
        <is>
          <t>Không ngủ đông (Always-on)</t>
        </is>
      </c>
      <c r="E8" s="16" t="inlineStr">
        <is>
          <t>Free bị ngủ 50s, Paid không ngủ</t>
        </is>
      </c>
      <c r="F8" s="16" t="inlineStr">
        <is>
          <t>Điều độ và Thủ kho mở trang là tải tức thì, không chờ đợi</t>
        </is>
      </c>
    </row>
    <row r="9" ht="26" customHeight="1">
      <c r="A9" s="19" t="n">
        <v>6</v>
      </c>
      <c r="B9" s="20" t="inlineStr">
        <is>
          <t>Tốc Độ Build (Build Infrastructure)</t>
        </is>
      </c>
      <c r="C9" s="20" t="inlineStr">
        <is>
          <t>Build runner chuẩn</t>
        </is>
      </c>
      <c r="D9" s="29" t="inlineStr">
        <is>
          <t>Priority Build Runner (Nhanh gấp 2-3 lần)</t>
        </is>
      </c>
      <c r="E9" s="20" t="inlineStr">
        <is>
          <t>Build chuẩn</t>
        </is>
      </c>
      <c r="F9" s="20" t="inlineStr">
        <is>
          <t>Triển khai tính năng mới từ GitHub lên Dev chỉ mất 1-2 phút</t>
        </is>
      </c>
    </row>
    <row r="10" ht="26" customHeight="1">
      <c r="A10" s="15" t="n">
        <v>7</v>
      </c>
      <c r="B10" s="16" t="inlineStr">
        <is>
          <t>Cơ Chế Phân Quyền (RBAC)</t>
        </is>
      </c>
      <c r="C10" s="16" t="inlineStr">
        <is>
          <t>Không hỗ trợ</t>
        </is>
      </c>
      <c r="D10" s="29" t="inlineStr">
        <is>
          <t>Admin, Member, Deployer + Environment Lock</t>
        </is>
      </c>
      <c r="E10" s="16" t="inlineStr">
        <is>
          <t>Cơ bản</t>
        </is>
      </c>
      <c r="F10" s="16" t="inlineStr">
        <is>
          <t>Bảo vệ các biến môi trường nhạy cảm (JWT Secret, DB Password)</t>
        </is>
      </c>
    </row>
    <row r="11" ht="26" customHeight="1">
      <c r="A11" s="19" t="n">
        <v>8</v>
      </c>
      <c r="B11" s="20" t="inlineStr">
        <is>
          <t>Dung Lượng Giới Hạn (Limits)</t>
        </is>
      </c>
      <c r="C11" s="20" t="inlineStr">
        <is>
          <t>Tối đa 8 vCPU, 8GB RAM</t>
        </is>
      </c>
      <c r="D11" s="29" t="inlineStr">
        <is>
          <t>Tối đa 32 vCPU, 64GB RAM</t>
        </is>
      </c>
      <c r="E11" s="20" t="inlineStr">
        <is>
          <t>Cố định theo gói</t>
        </is>
      </c>
      <c r="F11" s="20" t="inlineStr">
        <is>
          <t>Dễ dàng nâng cấp khi lượng đơn hàng và xe tăng trưởng</t>
        </is>
      </c>
    </row>
    <row r="12" ht="26" customHeight="1">
      <c r="A12" s="15" t="n">
        <v>9</v>
      </c>
      <c r="B12" s="16" t="inlineStr">
        <is>
          <t>Cam Kết Chất Lượng (SLA)</t>
        </is>
      </c>
      <c r="C12" s="16" t="inlineStr">
        <is>
          <t>Cộng đồng hỗ trợ</t>
        </is>
      </c>
      <c r="D12" s="29" t="inlineStr">
        <is>
          <t>99.9% Uptime SLA + Support ưu tiên</t>
        </is>
      </c>
      <c r="E12" s="16" t="inlineStr">
        <is>
          <t>Có SLA ở gói cao</t>
        </is>
      </c>
      <c r="F12" s="16" t="inlineStr">
        <is>
          <t>Đảm bảo tính sẵn sàng cao cho hoạt động logistics xuyên suốt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18" customWidth="1" min="4" max="4"/>
    <col width="50" customWidth="1" min="5" max="5"/>
  </cols>
  <sheetData>
    <row r="1" ht="36" customHeight="1">
      <c r="A1" s="1" t="inlineStr">
        <is>
          <t>KẾ HOẠCH TRIỂN KHAI &amp; CHUYỂN ĐỔI HẠ TẦNG SANG RAILWAY PRO (KÈM N8N)</t>
        </is>
      </c>
    </row>
    <row r="2"/>
    <row r="3" ht="28" customHeight="1">
      <c r="A3" s="14" t="inlineStr">
        <is>
          <t>Bước</t>
        </is>
      </c>
      <c r="B3" s="14" t="inlineStr">
        <is>
          <t>Giai Đoạn</t>
        </is>
      </c>
      <c r="C3" s="14" t="inlineStr">
        <is>
          <t>Hành Động Cụ Thể</t>
        </is>
      </c>
      <c r="D3" s="14" t="inlineStr">
        <is>
          <t>Thời Gian Dự Kiến</t>
        </is>
      </c>
      <c r="E3" s="14" t="inlineStr">
        <is>
          <t>Tiêu Chí Nghiệm Thu (DoD)</t>
        </is>
      </c>
    </row>
    <row r="4" ht="44" customHeight="1">
      <c r="A4" s="15" t="inlineStr">
        <is>
          <t>Bước 1</t>
        </is>
      </c>
      <c r="B4" s="16" t="inlineStr">
        <is>
          <t>Khởi Tạo Project &amp; Cụm Dev</t>
        </is>
      </c>
      <c r="C4" s="16" t="inlineStr">
        <is>
          <t>• Tạo Project 'logistics-tms' tại Singapore trên Railway
• Kích hoạt Gói Pro
• Tạo Environment 'dev', thêm PostgreSQL &amp; Redis</t>
        </is>
      </c>
      <c r="D4" s="15" t="inlineStr">
        <is>
          <t>1 - 2 giờ</t>
        </is>
      </c>
      <c r="E4" s="16" t="inlineStr">
        <is>
          <t>✅ Project sẵn sàng, kết nối private database nội bộ thông suốt</t>
        </is>
      </c>
    </row>
    <row r="5" ht="44" customHeight="1">
      <c r="A5" s="19" t="inlineStr">
        <is>
          <t>Bước 2</t>
        </is>
      </c>
      <c r="B5" s="20" t="inlineStr">
        <is>
          <t>Deploy Backend &amp; Frontend Dev</t>
        </is>
      </c>
      <c r="C5" s="20" t="inlineStr">
        <is>
          <t>• Kết nối GitHub repo 'backend' (branch dev) -&gt; Dockerfile.prod
• Kết nối GitHub repo 'frontend' (branch dev) -&gt; Dockerfile standalone
• Chạy migration và seed dữ liệu khởi tạo</t>
        </is>
      </c>
      <c r="D5" s="19" t="inlineStr">
        <is>
          <t>2 - 3 giờ</t>
        </is>
      </c>
      <c r="E5" s="20" t="inlineStr">
        <is>
          <t>✅ Dev API chạy 200 OK tại domain Railway, Frontend kết nối thành công</t>
        </is>
      </c>
    </row>
    <row r="6" ht="44" customHeight="1">
      <c r="A6" s="15" t="inlineStr">
        <is>
          <t>Bước 3</t>
        </is>
      </c>
      <c r="B6" s="16" t="inlineStr">
        <is>
          <t>Dựng Cụm Tự Động Hóa n8n (PostgreSQL Riêng)</t>
        </is>
      </c>
      <c r="C6" s="16" t="inlineStr">
        <is>
          <t>• Tạo service PostgreSQL riêng biệt 'postgres-n8n' (150MB RAM, 2GB SSD)
• Kéo Docker image 'n8nio/n8n:latest' (cấu hình ~250MB RAM)
• Cấu hình n8n kết nối vào 'postgres-n8n' (cách ly 100% khỏi TMS DB)
• Thiết lập Webhook đón sự kiện đơn hàng &amp; Telegram Bot</t>
        </is>
      </c>
      <c r="D6" s="15" t="inlineStr">
        <is>
          <t>30 - 45 phút</t>
        </is>
      </c>
      <c r="E6" s="16" t="inlineStr">
        <is>
          <t>✅ n8n chạy độc lập với DB riêng, kiểm tra webhook nhận tin nhắn Telegram tự động thành công</t>
        </is>
      </c>
    </row>
    <row r="7" ht="44" customHeight="1">
      <c r="A7" s="19" t="inlineStr">
        <is>
          <t>Bước 4</t>
        </is>
      </c>
      <c r="B7" s="20" t="inlineStr">
        <is>
          <t>Kiểm Thử Toàn Diện (E2E Test)</t>
        </is>
      </c>
      <c r="C7" s="20" t="inlineStr">
        <is>
          <t>• Chạy bộ Playwright E2E Test tự động kiểm tra toàn bộ luồng
• Đo lường độ trễ mạng, mức tiêu thụ RAM/CPU thực tế cả cụm TMS &amp; n8n</t>
        </is>
      </c>
      <c r="D7" s="19" t="inlineStr">
        <is>
          <t>1 - 2 giờ</t>
        </is>
      </c>
      <c r="E7" s="20" t="inlineStr">
        <is>
          <t>✅ 100% Test Case đạt PASS trên Domain Dev mới của Railway</t>
        </is>
      </c>
    </row>
    <row r="8" ht="44" customHeight="1">
      <c r="A8" s="15" t="inlineStr">
        <is>
          <t>Bước 5</t>
        </is>
      </c>
      <c r="B8" s="16" t="inlineStr">
        <is>
          <t>Nhân Bản Cụm Production &amp; Cutover</t>
        </is>
      </c>
      <c r="C8" s="16" t="inlineStr">
        <is>
          <t>• Duplicate Environment sang 'production' (nhánh 'master')
• Cấu hình PostgreSQL Prod riêng biệt
• Trỏ Custom Domain chính thức và tắt các service trên Render</t>
        </is>
      </c>
      <c r="D8" s="15" t="inlineStr">
        <is>
          <t>1 - 2 giờ</t>
        </is>
      </c>
      <c r="E8" s="16" t="inlineStr">
        <is>
          <t>✅ Hệ thống chính thức chạy trên Railway, hoàn tất chuyển đổi 0 downtime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2026-10-12T07:55:58Z</dcterms:created>
  <dcterms:modified xmlns:dcterms="http://purl.org/dc/terms/" xmlns:xsi="http://www.w3.org/2001/XMLSchema-instance" xsi:type="dcterms:W3CDTF">2026-10-12T07:55:58Z</dcterms:modified>
</cp:coreProperties>
</file>