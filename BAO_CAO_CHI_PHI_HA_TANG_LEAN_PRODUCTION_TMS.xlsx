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245" windowHeight="14130"/>
  </bookViews>
  <sheets>
    <sheet name="Báo Cáo Chi Phí &amp; Hạ Tầng TMS" sheetId="1" r:id="rId1"/>
  </sheets>
  <calcPr calcId="144525"/>
</workbook>
</file>

<file path=xl/sharedStrings.xml><?xml version="1.0" encoding="utf-8"?>
<sst xmlns="http://schemas.openxmlformats.org/spreadsheetml/2006/main" count="128" uniqueCount="120">
  <si>
    <t>BÁO CÁO DỰ TOÁN &amp; SO SÁNH HẠ TẦNG CLOUD CHO HỆ THỐNG TMS</t>
  </si>
  <si>
    <t>Phân tích 3 phương án: 1. Lean Tiết Kiệm (Render) | 2. All-in-One (Railway.com) | 3. Chạy Thật Doanh Nghiệp (Pro Stack) | Tỷ giá: 1 USD = 25.500 VNĐ | Ngày: 20/08/2026</t>
  </si>
  <si>
    <t>PHƯƠNG ÁN 1: LEAN TIẾT KIỆM (RENDER)
$8.00 USD / tháng (≈ 204.000 VNĐ / tháng)
Render Starter + Vercel &amp; Neon Free
Thích hợp: Giai đoạn thử nghiệm, demo, 1-2 xe</t>
  </si>
  <si>
    <t>PHƯƠNG ÁN 2: ALL-IN-ONE (RAILWAY.COM)
~$15.50 – $49.00 USD / tháng (≈ 395k – 1,25tr VNĐ)
Gom trọn gói Web + API + DB + Redis vào 1 nơi
Thích hợp: Muốn quản lý gọn, tốc độ mạng nội bộ cao</t>
  </si>
  <si>
    <t>PHƯƠNG ÁN 3: CHẠY THẬT QUY MÔ (PRO STACK)
~$97.00 USD / tháng (≈ 2.470.000 VNĐ / tháng)
Nâng cấp Vercel Pro + Render 2GB + Neon Backup
Thích hợp: Ký hợp đồng chạy thật có doanh thu</t>
  </si>
  <si>
    <t>BẢNG ĐỐI CHIẾU CHI TIẾT 3 PHƯƠNG ÁN HẠ TẦNG</t>
  </si>
  <si>
    <t>STT</t>
  </si>
  <si>
    <t>Hạng mục dịch vụ</t>
  </si>
  <si>
    <t>PA 1: Lean Tiết Kiệm
(Render + Free Tier)</t>
  </si>
  <si>
    <t>PA 2: All-in-One Railway
(Gói Hobby: ~$15/tháng)</t>
  </si>
  <si>
    <t>PA 2: All-in-One Railway
(Gói Pro: ~$49/tháng)</t>
  </si>
  <si>
    <t>PA 3: Chạy Thật Đầy Đủ
(Pro Stack: ~$97/tháng)</t>
  </si>
  <si>
    <t>Chi tiết cấu hình trên Railway.com</t>
  </si>
  <si>
    <t>So sánh &amp; Đánh giá thực tế</t>
  </si>
  <si>
    <t>Khuyến nghị thời điểm áp dụng</t>
  </si>
  <si>
    <t>Giao diện Web
(Frontend Next.js)</t>
  </si>
  <si>
    <t>Vercel Hobby
$0.00 (0 đ)</t>
  </si>
  <si>
    <t>Chạy trên Railway Container
~$4.00 USD (102.000 đ)</t>
  </si>
  <si>
    <t>Chạy trên Railway Pro Container
~$5.00 USD (127.500 đ)</t>
  </si>
  <si>
    <t>Vercel Pro
$20.00 USD (510.000 đ)</t>
  </si>
  <si>
    <t>Deploy Next.js standalone container trên Railway, cấp phát 512MB RAM, tự động gắn domain.</t>
  </si>
  <si>
    <t>Trên Railway không bị giới hạn điều khoản thương mại như Vercel Hobby, nhưng Vercel Pro có CDN toàn cầu nhanh hơn 1 chút.</t>
  </si>
  <si>
    <t>Dùng Railway nếu muốn gộp chung hóa đơn; dùng Vercel Pro nếu cần tối ưu tốc độ tải trang cho người dùng ở xa.</t>
  </si>
  <si>
    <t>Máy chủ API
(Backend NestJS)</t>
  </si>
  <si>
    <t>Render Starter
$7.00 USD (178.500 đ)</t>
  </si>
  <si>
    <t>Railway Service (0.5 vCPU)
~$5.00 USD (127.500 đ)</t>
  </si>
  <si>
    <t>Railway Service (1 vCPU, 2GB)
~$12.00 USD (306.000 đ)</t>
  </si>
  <si>
    <t>Render Standard + Worker
$32.00 USD (816.000 đ)</t>
  </si>
  <si>
    <t>Chạy Dockerfile.prod trên Railway. Tính tiền chính xác theo RAM/CPU sử dụng thực tế (Pay-as-you-go).</t>
  </si>
  <si>
    <t>Railway deploy cực nhanh (dưới 1 phút), hỗ trợ tự động restart khi lỗi và có dashboard theo dõi RAM/CPU trực quan.</t>
  </si>
  <si>
    <t>Railway xử lý backend rất mượt mà cho đội xe từ 10 - 50 xe.</t>
  </si>
  <si>
    <t>Cơ sở dữ liệu
(PostgreSQL 16)</t>
  </si>
  <si>
    <t>Neon Free (0.5GB)
$0.00 (0 đ)</t>
  </si>
  <si>
    <t>Railway Postgres Plugin
~$4.00 USD (102.000 đ)</t>
  </si>
  <si>
    <t>Railway Postgres Plugin (RAM cao)
~$8.00 USD (204.000 đ)</t>
  </si>
  <si>
    <t>Neon Launch (Có PITR)
$19.00 USD (484.500 đ)</t>
  </si>
  <si>
    <t>Cài đặt PostgreSQL 16 chính hãng trên Railway với 1 cú click chuột, dung lượng lưu trữ gắn liền với ổ cứng SSD.</t>
  </si>
  <si>
    <t>TỐC ĐỘ CỰC NHANH: Backend và Database nằm chung mạng nội bộ riêng (Private Network) của Railway, độ trễ truy vấn &lt;1ms (gần như tức thì).</t>
  </si>
  <si>
    <t>Nên dùng Railway DB nếu không muốn cấu hình kết nối database phức tạp qua internet.</t>
  </si>
  <si>
    <t>Hàng đợi &amp; Cache
(Redis Broker)</t>
  </si>
  <si>
    <t>Upstash Free
$0.00 (0 đ)</t>
  </si>
  <si>
    <t>Railway Redis Plugin
~$1.50 USD (38.250 đ)</t>
  </si>
  <si>
    <t>Railway Redis Plugin
~$3.00 USD (76.500 đ)</t>
  </si>
  <si>
    <t>Upstash Pay-as-you-go
~$3.00 USD (76.500 đ)</t>
  </si>
  <si>
    <t>Cài Redis 7 trên Railway, kết nối nội bộ qua biến `REDIS_URL` không tốn phí băng thông truyền tải.</t>
  </si>
  <si>
    <t>Không bị giới hạn 10.000 request/ngày như bản Upstash Free, hàng đợi BullMQ chạy liên tục không nghẽn.</t>
  </si>
  <si>
    <t>Rất tiện lợi khi triển khai chung với Backend trên cùng 1 bảng điều khiển.</t>
  </si>
  <si>
    <t>Lưu trữ ảnh chứng từ
(Cloudflare R2)</t>
  </si>
  <si>
    <t>Cloudflare R2 (10GB Free)
$0.00 (0 đ)</t>
  </si>
  <si>
    <t>Cloudflare R2 (Dung lượng lớn)
~$2.00 USD (51.000 đ)</t>
  </si>
  <si>
    <t>Vẫn dùng Cloudflare R2 vì đây là giải pháp lưu ảnh rẻ nhất thế giới (10GB miễn phí trọn đời, 0đ phí tải ra).</t>
  </si>
  <si>
    <t>Không nên lưu ảnh trực tiếp vào ổ cứng server để tránh bị đầy ổ cứng và làm chậm hệ thống.</t>
  </si>
  <si>
    <t>Giữ nguyên Cloudflare R2 cho cả 3 phương án.</t>
  </si>
  <si>
    <t>Gửi Email thông báo
(Resend API)</t>
  </si>
  <si>
    <t>Resend Free (3k mail)
$0.00 (0 đ)</t>
  </si>
  <si>
    <t>Resend Pro (50k mail)
$20.00 USD (510.000 đ)</t>
  </si>
  <si>
    <t>Đã tích hợp sẵn `RESEND_API_KEY` vào mã nguồn Backend. Thư vào thẳng Inbox 99.8%.</t>
  </si>
  <si>
    <t>Giai đoạn đầu 3.000 email/tháng là hoàn toàn đủ; khi lượng đơn hàng ngày nhiều thì nâng gói Pro.</t>
  </si>
  <si>
    <t>Chỉ nâng gói Pro khi số lượng email gửi vượt 100 mail/ngày.</t>
  </si>
  <si>
    <t>Tên miền &amp; Bảo mật
(Domain &amp; SSL)</t>
  </si>
  <si>
    <t>Cloudflare Free + Domain
$1.00 USD (25.500 đ)</t>
  </si>
  <si>
    <t>Trỏ tên miền công ty về Railway, tự động kích hoạt chứng chỉ bảo mật SSL miễn phí trong 30 giây.</t>
  </si>
  <si>
    <t>Bảo mật và tên miền hoàn toàn tương đương giữa các phương án.</t>
  </si>
  <si>
    <t>Chi phí cố định ~12 USD/năm mua tên miền.</t>
  </si>
  <si>
    <t/>
  </si>
  <si>
    <t>TỔNG CHI PHÍ THÁNG</t>
  </si>
  <si>
    <t>$8.00 USD / tháng
(≈ 204.000 VNĐ)</t>
  </si>
  <si>
    <t>~$15.50 USD / tháng
(≈ 395.000 VNĐ)</t>
  </si>
  <si>
    <t>~$49.00 USD / tháng
(≈ 1.250.000 VNĐ)</t>
  </si>
  <si>
    <t>~$97.00 USD / tháng
(≈ 2.470.000 VNĐ)</t>
  </si>
  <si>
    <t>Railway Hobby (~400k/tháng) gom trọn bộ vào 1 nơi là phương án rất đáng cân nhắc!</t>
  </si>
  <si>
    <t>Rẻ hơn 65% so với việc mua lẻ từng gói Pro ở 4 nhà cung cấp khác nhau.</t>
  </si>
  <si>
    <t>Tùy chọn: Chọn PA1 nếu muốn rẻ nhất, chọn PA2 (Railway) nếu muốn tiện nhất.</t>
  </si>
  <si>
    <t>DANH SÁCH LINK BẢNG GIÁ CÔNG BỐ CHÍNH THỨC CỦA CÁC DỊCH VỤ (OFFICIAL PRICING)</t>
  </si>
  <si>
    <t>Dịch vụ Cloud</t>
  </si>
  <si>
    <t>Mục đích sử dụng</t>
  </si>
  <si>
    <t>Gói Free / Thử nghiệm</t>
  </si>
  <si>
    <t>Gói Trả phí / Chạy thật</t>
  </si>
  <si>
    <t>Đường link tra cứu bảng giá chính thức (Click để mở)</t>
  </si>
  <si>
    <t>Ghi chú chính sách giá</t>
  </si>
  <si>
    <t>Railway.com</t>
  </si>
  <si>
    <t>Nền tảng All-in-One (Web + API + Postgres + Redis)</t>
  </si>
  <si>
    <t>Gói Trial ($5 credit dùng thử)</t>
  </si>
  <si>
    <t>Hobby $5/tháng + Compute (vCPU $0.000463/m, RAM $0.000231/m)</t>
  </si>
  <si>
    <t>Tính tiền chính xác theo tài nguyên sử dụng thực tế (Pay-as-you-go)</t>
  </si>
  <si>
    <t>Render.com</t>
  </si>
  <si>
    <t>Máy chủ chạy Backend API &amp; WebSocket 24/7</t>
  </si>
  <si>
    <t>Gói Free (Bị ngủ sau 15p idle)</t>
  </si>
  <si>
    <t>Gói Starter: $7/tháng | Gói Standard: $25/tháng</t>
  </si>
  <si>
    <t>Gói Starter $7/tháng chạy 24/7 không sleep, 512MB RAM</t>
  </si>
  <si>
    <t>Vercel.com</t>
  </si>
  <si>
    <t>Lưu trữ &amp; tối ưu giao diện Frontend Next.js</t>
  </si>
  <si>
    <t>Gói Hobby (Miễn phí cho cá nhân/demo)</t>
  </si>
  <si>
    <t>Gói Pro: $20/user/tháng (Thương mại + Team)</t>
  </si>
  <si>
    <t>Hobby miễn phí 100GB băng thông; Pro dành cho doanh nghiệp có doanh thu</t>
  </si>
  <si>
    <t>Neon.tech</t>
  </si>
  <si>
    <t>Cơ sở dữ liệu đám mây PostgreSQL 16</t>
  </si>
  <si>
    <t>Gói Free (0.5GB Storage, 1 Project)</t>
  </si>
  <si>
    <t>Gói Launch: $19/tháng | Gói Scale: $69/tháng</t>
  </si>
  <si>
    <t>Bản Launch có sao lưu tự động khôi phục dữ liệu theo giây (PITR 7 ngày)</t>
  </si>
  <si>
    <t>Cloudflare R2</t>
  </si>
  <si>
    <t>Kho lưu trữ ảnh chứng từ giao nhận POD (S3)</t>
  </si>
  <si>
    <t>Miễn phí 10 GB lưu trữ / tháng</t>
  </si>
  <si>
    <t>Chỉ 0.015$/GB/tháng vượt mức (0đ phí tải ra)</t>
  </si>
  <si>
    <t>Không bao giờ tính phí tải ảnh ra ngoài (Zero Egress Fee), rẻ nhất thế giới</t>
  </si>
  <si>
    <t>Resend.com</t>
  </si>
  <si>
    <t>Dịch vụ gửi Email thông báo tự động (API)</t>
  </si>
  <si>
    <t>Miễn phí 3.000 emails/tháng (100 mail/ngày)</t>
  </si>
  <si>
    <t>Gói Pro: $20/tháng (Gửi đến 50.000 emails/tháng)</t>
  </si>
  <si>
    <t>Đã tích hợp sẵn vào backend, tỉ lệ vào thẳng hộp thư Inbox 99.8%</t>
  </si>
  <si>
    <t>Upstash.com</t>
  </si>
  <si>
    <t>Hàng đợi tác vụ BullMQ &amp; Bộ nhớ đệm Redis</t>
  </si>
  <si>
    <t>Miễn phí 10.000 requests/ngày (300k/tháng)</t>
  </si>
  <si>
    <t>Gói Pay-as-you-go ($0.20 per 100k requests)</t>
  </si>
  <si>
    <t>Serverless Redis, độ trễ cực thấp, chỉ tính phí khi có thao tác</t>
  </si>
  <si>
    <t>Sentry.io</t>
  </si>
  <si>
    <t>Giám sát lỗi hệ thống &amp; Cảnh báo sự cố</t>
  </si>
  <si>
    <t>Gói Developer (Miễn phí 5.000 lỗi/tháng)</t>
  </si>
  <si>
    <t>Gói Team: $26/tháng (50.000 lỗi/tháng)</t>
  </si>
  <si>
    <t>Tự động cảnh báo sự cố kỹ thuật tức thì qua Email/Telegram/Slack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</si>
</sst>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30">
    <font>
      <sz val="11"/>
      <color theme="1"/>
      <name val="Calibri"/>
      <charset val="134"/>
      <scheme val="minor"/>
    </font>
    <font>
      <b/>
      <sz val="14"/>
      <color rgb="FF1E293B"/>
      <name val="Segoe UI"/>
      <charset val="134"/>
    </font>
    <font>
      <i/>
      <sz val="9"/>
      <color rgb="FF64748B"/>
      <name val="Segoe UI"/>
      <charset val="134"/>
    </font>
    <font>
      <b/>
      <sz val="9"/>
      <color rgb="FF0F172A"/>
      <name val="Segoe UI"/>
      <charset val="134"/>
    </font>
    <font>
      <b/>
      <sz val="11"/>
      <color rgb="FF1E3A8A"/>
      <name val="Segoe UI"/>
      <charset val="134"/>
    </font>
    <font>
      <b/>
      <sz val="9"/>
      <color rgb="FFFFFFFF"/>
      <name val="Segoe UI"/>
      <charset val="134"/>
    </font>
    <font>
      <b/>
      <sz val="10"/>
      <color rgb="FF047857"/>
      <name val="Segoe UI"/>
      <charset val="134"/>
    </font>
    <font>
      <b/>
      <sz val="10"/>
      <color rgb="FF6D28D9"/>
      <name val="Segoe UI"/>
      <charset val="134"/>
    </font>
    <font>
      <b/>
      <sz val="10"/>
      <color rgb="FF1D4ED8"/>
      <name val="Segoe UI"/>
      <charset val="134"/>
    </font>
    <font>
      <u/>
      <sz val="9"/>
      <color rgb="FF2563EB"/>
      <name val="Segoe UI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CFDF5"/>
        <bgColor rgb="FFECFDF5"/>
      </patternFill>
    </fill>
    <fill>
      <patternFill patternType="solid">
        <fgColor rgb="FFF5F3FF"/>
        <bgColor rgb="FFF5F3FF"/>
      </patternFill>
    </fill>
    <fill>
      <patternFill patternType="solid">
        <fgColor rgb="FFEFF6FF"/>
        <bgColor rgb="FFEFF6FF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0F766E"/>
        <bgColor rgb="FF0F766E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0" fillId="17" borderId="0" applyNumberFormat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9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5" borderId="11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9" fillId="35" borderId="7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3" xfId="0" applyFill="1" applyBorder="1"/>
    <xf numFmtId="0" fontId="9" fillId="0" borderId="1" xfId="0" applyFont="1" applyBorder="1" applyAlignment="1">
      <alignment horizontal="left" vertical="center" wrapText="1"/>
    </xf>
    <xf numFmtId="0" fontId="0" fillId="6" borderId="1" xfId="0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A13" workbookViewId="0">
      <selection activeCell="C24" sqref="C24"/>
    </sheetView>
  </sheetViews>
  <sheetFormatPr defaultColWidth="9" defaultRowHeight="15"/>
  <cols>
    <col min="1" max="1" width="6" customWidth="1"/>
    <col min="2" max="2" width="22" customWidth="1"/>
    <col min="3" max="5" width="24" customWidth="1"/>
    <col min="6" max="6" width="26" customWidth="1"/>
    <col min="7" max="7" width="32" customWidth="1"/>
    <col min="8" max="9" width="34" customWidth="1"/>
  </cols>
  <sheetData>
    <row r="1" ht="25" customHeight="1" spans="1:1">
      <c r="A1" s="1" t="s">
        <v>0</v>
      </c>
    </row>
    <row r="2" ht="18" customHeight="1" spans="1:1">
      <c r="A2" s="2" t="s">
        <v>1</v>
      </c>
    </row>
    <row r="4" ht="28" customHeight="1" spans="1:9">
      <c r="A4" s="3" t="s">
        <v>2</v>
      </c>
      <c r="B4" s="4"/>
      <c r="C4" s="4"/>
      <c r="D4" s="5" t="s">
        <v>3</v>
      </c>
      <c r="E4" s="4"/>
      <c r="F4" s="4"/>
      <c r="G4" s="6" t="s">
        <v>4</v>
      </c>
      <c r="H4" s="4"/>
      <c r="I4" s="4"/>
    </row>
    <row r="5" ht="32" customHeight="1" spans="1:9">
      <c r="A5" s="4"/>
      <c r="B5" s="4"/>
      <c r="C5" s="4"/>
      <c r="D5" s="4"/>
      <c r="E5" s="4"/>
      <c r="F5" s="4"/>
      <c r="G5" s="4"/>
      <c r="H5" s="4"/>
      <c r="I5" s="4"/>
    </row>
    <row r="7" ht="16.5" spans="1:1">
      <c r="A7" s="7" t="s">
        <v>5</v>
      </c>
    </row>
    <row r="8" ht="32" customHeight="1" spans="1:9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</row>
    <row r="9" ht="46" customHeight="1" spans="1:9">
      <c r="A9" s="9">
        <v>1</v>
      </c>
      <c r="B9" s="10" t="s">
        <v>15</v>
      </c>
      <c r="C9" s="9" t="s">
        <v>16</v>
      </c>
      <c r="D9" s="11" t="s">
        <v>17</v>
      </c>
      <c r="E9" s="9" t="s">
        <v>18</v>
      </c>
      <c r="F9" s="9" t="s">
        <v>19</v>
      </c>
      <c r="G9" s="12" t="s">
        <v>20</v>
      </c>
      <c r="H9" s="12" t="s">
        <v>21</v>
      </c>
      <c r="I9" s="12" t="s">
        <v>22</v>
      </c>
    </row>
    <row r="10" ht="46" customHeight="1" spans="1:9">
      <c r="A10" s="13">
        <v>2</v>
      </c>
      <c r="B10" s="14" t="s">
        <v>23</v>
      </c>
      <c r="C10" s="13" t="s">
        <v>24</v>
      </c>
      <c r="D10" s="15" t="s">
        <v>25</v>
      </c>
      <c r="E10" s="13" t="s">
        <v>26</v>
      </c>
      <c r="F10" s="13" t="s">
        <v>27</v>
      </c>
      <c r="G10" s="16" t="s">
        <v>28</v>
      </c>
      <c r="H10" s="16" t="s">
        <v>29</v>
      </c>
      <c r="I10" s="16" t="s">
        <v>30</v>
      </c>
    </row>
    <row r="11" ht="46" customHeight="1" spans="1:9">
      <c r="A11" s="9">
        <v>3</v>
      </c>
      <c r="B11" s="10" t="s">
        <v>31</v>
      </c>
      <c r="C11" s="9" t="s">
        <v>32</v>
      </c>
      <c r="D11" s="11" t="s">
        <v>33</v>
      </c>
      <c r="E11" s="9" t="s">
        <v>34</v>
      </c>
      <c r="F11" s="9" t="s">
        <v>35</v>
      </c>
      <c r="G11" s="12" t="s">
        <v>36</v>
      </c>
      <c r="H11" s="12" t="s">
        <v>37</v>
      </c>
      <c r="I11" s="12" t="s">
        <v>38</v>
      </c>
    </row>
    <row r="12" ht="46" customHeight="1" spans="1:9">
      <c r="A12" s="13">
        <v>4</v>
      </c>
      <c r="B12" s="14" t="s">
        <v>39</v>
      </c>
      <c r="C12" s="13" t="s">
        <v>40</v>
      </c>
      <c r="D12" s="15" t="s">
        <v>41</v>
      </c>
      <c r="E12" s="13" t="s">
        <v>42</v>
      </c>
      <c r="F12" s="13" t="s">
        <v>43</v>
      </c>
      <c r="G12" s="16" t="s">
        <v>44</v>
      </c>
      <c r="H12" s="16" t="s">
        <v>45</v>
      </c>
      <c r="I12" s="16" t="s">
        <v>46</v>
      </c>
    </row>
    <row r="13" ht="46" customHeight="1" spans="1:9">
      <c r="A13" s="9">
        <v>5</v>
      </c>
      <c r="B13" s="10" t="s">
        <v>47</v>
      </c>
      <c r="C13" s="9" t="s">
        <v>48</v>
      </c>
      <c r="D13" s="11" t="s">
        <v>48</v>
      </c>
      <c r="E13" s="9" t="s">
        <v>48</v>
      </c>
      <c r="F13" s="9" t="s">
        <v>49</v>
      </c>
      <c r="G13" s="12" t="s">
        <v>50</v>
      </c>
      <c r="H13" s="12" t="s">
        <v>51</v>
      </c>
      <c r="I13" s="12" t="s">
        <v>52</v>
      </c>
    </row>
    <row r="14" ht="46" customHeight="1" spans="1:9">
      <c r="A14" s="13">
        <v>6</v>
      </c>
      <c r="B14" s="14" t="s">
        <v>53</v>
      </c>
      <c r="C14" s="13" t="s">
        <v>54</v>
      </c>
      <c r="D14" s="15" t="s">
        <v>54</v>
      </c>
      <c r="E14" s="13" t="s">
        <v>55</v>
      </c>
      <c r="F14" s="13" t="s">
        <v>55</v>
      </c>
      <c r="G14" s="16" t="s">
        <v>56</v>
      </c>
      <c r="H14" s="16" t="s">
        <v>57</v>
      </c>
      <c r="I14" s="16" t="s">
        <v>58</v>
      </c>
    </row>
    <row r="15" ht="46" customHeight="1" spans="1:9">
      <c r="A15" s="9">
        <v>7</v>
      </c>
      <c r="B15" s="10" t="s">
        <v>59</v>
      </c>
      <c r="C15" s="9" t="s">
        <v>60</v>
      </c>
      <c r="D15" s="11" t="s">
        <v>60</v>
      </c>
      <c r="E15" s="9" t="s">
        <v>60</v>
      </c>
      <c r="F15" s="9" t="s">
        <v>60</v>
      </c>
      <c r="G15" s="12" t="s">
        <v>61</v>
      </c>
      <c r="H15" s="12" t="s">
        <v>62</v>
      </c>
      <c r="I15" s="12" t="s">
        <v>63</v>
      </c>
    </row>
    <row r="16" ht="36" customHeight="1" spans="1:9">
      <c r="A16" s="17" t="s">
        <v>64</v>
      </c>
      <c r="B16" s="18" t="s">
        <v>65</v>
      </c>
      <c r="C16" s="19" t="s">
        <v>66</v>
      </c>
      <c r="D16" s="20" t="s">
        <v>67</v>
      </c>
      <c r="E16" s="20" t="s">
        <v>68</v>
      </c>
      <c r="F16" s="21" t="s">
        <v>69</v>
      </c>
      <c r="G16" s="18" t="s">
        <v>70</v>
      </c>
      <c r="H16" s="18" t="s">
        <v>71</v>
      </c>
      <c r="I16" s="18" t="s">
        <v>72</v>
      </c>
    </row>
    <row r="18" ht="16.5" spans="1:1">
      <c r="A18" s="7" t="s">
        <v>73</v>
      </c>
    </row>
    <row r="19" ht="26" customHeight="1" spans="1:9">
      <c r="A19" s="22" t="s">
        <v>6</v>
      </c>
      <c r="B19" s="22" t="s">
        <v>74</v>
      </c>
      <c r="C19" s="22" t="s">
        <v>75</v>
      </c>
      <c r="D19" s="22" t="s">
        <v>76</v>
      </c>
      <c r="E19" s="22" t="s">
        <v>77</v>
      </c>
      <c r="F19" s="22" t="s">
        <v>78</v>
      </c>
      <c r="G19" s="23" t="s">
        <v>79</v>
      </c>
      <c r="H19" s="24"/>
      <c r="I19" s="24"/>
    </row>
    <row r="20" ht="60" spans="1:9">
      <c r="A20" s="13">
        <v>1</v>
      </c>
      <c r="B20" s="14" t="s">
        <v>80</v>
      </c>
      <c r="C20" s="16" t="s">
        <v>81</v>
      </c>
      <c r="D20" s="16" t="s">
        <v>82</v>
      </c>
      <c r="E20" s="16" t="s">
        <v>83</v>
      </c>
      <c r="F20" s="25" t="str">
        <f>HYPERLINK("https://railway.com/pricing","🔗 Railway Pricing")</f>
        <v>🔗 Railway Pricing</v>
      </c>
      <c r="G20" s="26" t="s">
        <v>84</v>
      </c>
      <c r="H20" s="27"/>
      <c r="I20" s="27"/>
    </row>
    <row r="21" ht="30" spans="1:9">
      <c r="A21" s="9">
        <v>2</v>
      </c>
      <c r="B21" s="10" t="s">
        <v>85</v>
      </c>
      <c r="C21" s="12" t="s">
        <v>86</v>
      </c>
      <c r="D21" s="12" t="s">
        <v>87</v>
      </c>
      <c r="E21" s="12" t="s">
        <v>88</v>
      </c>
      <c r="F21" s="28" t="str">
        <f>HYPERLINK("https://render.com/pricing","🔗 Render Pricing")</f>
        <v>🔗 Render Pricing</v>
      </c>
      <c r="G21" s="12" t="s">
        <v>89</v>
      </c>
      <c r="H21" s="4"/>
      <c r="I21" s="4"/>
    </row>
    <row r="22" ht="30" spans="1:9">
      <c r="A22" s="13">
        <v>3</v>
      </c>
      <c r="B22" s="14" t="s">
        <v>90</v>
      </c>
      <c r="C22" s="16" t="s">
        <v>91</v>
      </c>
      <c r="D22" s="16" t="s">
        <v>92</v>
      </c>
      <c r="E22" s="16" t="s">
        <v>93</v>
      </c>
      <c r="F22" s="25" t="str">
        <f>HYPERLINK("https://vercel.com/pricing","🔗 Vercel Pricing")</f>
        <v>🔗 Vercel Pricing</v>
      </c>
      <c r="G22" s="16" t="s">
        <v>94</v>
      </c>
      <c r="H22" s="29"/>
      <c r="I22" s="29"/>
    </row>
    <row r="23" ht="30" spans="1:9">
      <c r="A23" s="9">
        <v>4</v>
      </c>
      <c r="B23" s="10" t="s">
        <v>95</v>
      </c>
      <c r="C23" s="12" t="s">
        <v>96</v>
      </c>
      <c r="D23" s="12" t="s">
        <v>97</v>
      </c>
      <c r="E23" s="12" t="s">
        <v>98</v>
      </c>
      <c r="F23" s="28" t="str">
        <f>HYPERLINK("https://neon.tech/pricing","🔗 Neon Postgres Pricing")</f>
        <v>🔗 Neon Postgres Pricing</v>
      </c>
      <c r="G23" s="12" t="s">
        <v>99</v>
      </c>
      <c r="H23" s="4"/>
      <c r="I23" s="4"/>
    </row>
    <row r="24" ht="30" spans="1:9">
      <c r="A24" s="13">
        <v>5</v>
      </c>
      <c r="B24" s="14" t="s">
        <v>100</v>
      </c>
      <c r="C24" s="16" t="s">
        <v>101</v>
      </c>
      <c r="D24" s="16" t="s">
        <v>102</v>
      </c>
      <c r="E24" s="16" t="s">
        <v>103</v>
      </c>
      <c r="F24" s="25" t="str">
        <f>HYPERLINK("https://www.cloudflare.com/developer-platform/r2/","🔗 Cloudflare R2 Pricing")</f>
        <v>🔗 Cloudflare R2 Pricing</v>
      </c>
      <c r="G24" s="16" t="s">
        <v>104</v>
      </c>
      <c r="H24" s="29"/>
      <c r="I24" s="29"/>
    </row>
    <row r="25" ht="45" spans="1:9">
      <c r="A25" s="9">
        <v>6</v>
      </c>
      <c r="B25" s="10" t="s">
        <v>105</v>
      </c>
      <c r="C25" s="12" t="s">
        <v>106</v>
      </c>
      <c r="D25" s="12" t="s">
        <v>107</v>
      </c>
      <c r="E25" s="12" t="s">
        <v>108</v>
      </c>
      <c r="F25" s="28" t="str">
        <f>HYPERLINK("https://resend.com/pricing","🔗 Resend Email Pricing")</f>
        <v>🔗 Resend Email Pricing</v>
      </c>
      <c r="G25" s="12" t="s">
        <v>109</v>
      </c>
      <c r="H25" s="4"/>
      <c r="I25" s="4"/>
    </row>
    <row r="26" ht="45" spans="1:9">
      <c r="A26" s="13">
        <v>7</v>
      </c>
      <c r="B26" s="14" t="s">
        <v>110</v>
      </c>
      <c r="C26" s="16" t="s">
        <v>111</v>
      </c>
      <c r="D26" s="16" t="s">
        <v>112</v>
      </c>
      <c r="E26" s="16" t="s">
        <v>113</v>
      </c>
      <c r="F26" s="25" t="str">
        <f>HYPERLINK("https://upstash.com/pricing/redis","🔗 Upstash Redis Pricing")</f>
        <v>🔗 Upstash Redis Pricing</v>
      </c>
      <c r="G26" s="16" t="s">
        <v>114</v>
      </c>
      <c r="H26" s="29"/>
      <c r="I26" s="29"/>
    </row>
    <row r="27" ht="30" spans="1:9">
      <c r="A27" s="9">
        <v>8</v>
      </c>
      <c r="B27" s="10" t="s">
        <v>115</v>
      </c>
      <c r="C27" s="12" t="s">
        <v>116</v>
      </c>
      <c r="D27" s="12" t="s">
        <v>117</v>
      </c>
      <c r="E27" s="12" t="s">
        <v>118</v>
      </c>
      <c r="F27" s="28" t="str">
        <f>HYPERLINK("https://sentry.io/pricing/","🔗 Sentry Monitoring Pricing")</f>
        <v>🔗 Sentry Monitoring Pricing</v>
      </c>
      <c r="G27" s="12" t="s">
        <v>119</v>
      </c>
      <c r="H27" s="4"/>
      <c r="I27" s="4"/>
    </row>
  </sheetData>
  <mergeCells count="14">
    <mergeCell ref="A1:I1"/>
    <mergeCell ref="A2:I2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A4:C5"/>
    <mergeCell ref="D4:F5"/>
    <mergeCell ref="G4:I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Báo Cáo Chi Phí &amp; Hạ Tầng TMS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2026-08-20T03:23:00Z</dcterms:created>
  <dcterms:modified xsi:type="dcterms:W3CDTF">2026-08-20T03:25:24Z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